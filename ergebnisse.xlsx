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Source\Solar\"/>
    </mc:Choice>
  </mc:AlternateContent>
  <xr:revisionPtr revIDLastSave="0" documentId="13_ncr:1_{D3B6A4EB-737C-4FA0-809B-20DBC12CB3A8}" xr6:coauthVersionLast="47" xr6:coauthVersionMax="47" xr10:uidLastSave="{00000000-0000-0000-0000-000000000000}"/>
  <bookViews>
    <workbookView xWindow="11442" yWindow="0" windowWidth="11676" windowHeight="13758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3" i="1"/>
  <c r="F4" i="1"/>
  <c r="F5" i="1"/>
  <c r="F6" i="1"/>
  <c r="F7" i="1"/>
  <c r="F8" i="1"/>
  <c r="F9" i="1"/>
  <c r="F10" i="1"/>
  <c r="F3" i="1"/>
  <c r="E4" i="1"/>
  <c r="E5" i="1"/>
  <c r="E6" i="1"/>
  <c r="E7" i="1"/>
  <c r="E8" i="1"/>
  <c r="E9" i="1"/>
  <c r="E10" i="1"/>
  <c r="E3" i="1"/>
  <c r="K2" i="1"/>
</calcChain>
</file>

<file path=xl/sharedStrings.xml><?xml version="1.0" encoding="utf-8"?>
<sst xmlns="http://schemas.openxmlformats.org/spreadsheetml/2006/main" count="19" uniqueCount="19">
  <si>
    <t>Konstellation</t>
  </si>
  <si>
    <t>Autarkiegrad</t>
  </si>
  <si>
    <t>Ausgangssituation (Dach+Garage)</t>
  </si>
  <si>
    <t>Eingespeister Strom (kWh)</t>
  </si>
  <si>
    <t>zusätzlicher Akku 10kW</t>
  </si>
  <si>
    <t>Garage gedreht+steiler(-5+45)</t>
  </si>
  <si>
    <t>Netzbezug (kWh)</t>
  </si>
  <si>
    <t>Dachneigung</t>
  </si>
  <si>
    <t>Garagenneigung aktuell</t>
  </si>
  <si>
    <t>Garage nur gedreht</t>
  </si>
  <si>
    <t>Nordseite voll</t>
  </si>
  <si>
    <t>Fassade 5x450Wp 80°</t>
  </si>
  <si>
    <t xml:space="preserve">Terasse 12x Solid Bifacial 370Wp </t>
  </si>
  <si>
    <t>Terasse Ost/West schräg 20° je 6x</t>
  </si>
  <si>
    <t>Terasse Ost/West schräg 45° je 6x</t>
  </si>
  <si>
    <t>Diff. Netzbezug</t>
  </si>
  <si>
    <t>Diff. Einspeisung</t>
  </si>
  <si>
    <t>Ertrag Einspeisung</t>
  </si>
  <si>
    <t>Kosten Netzbezug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</si>
</sst>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%"/>
    <numFmt numFmtId="168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4" fontId="0" fillId="0" borderId="0" xfId="1" applyNumberFormat="1" applyFont="1"/>
    <xf numFmtId="168" fontId="0" fillId="0" borderId="0" xfId="0" applyNumberFormat="1"/>
    <xf numFmtId="164" fontId="0" fillId="0" borderId="0" xfId="0" applyNumberFormat="1"/>
    <xf numFmtId="44" fontId="0" fillId="0" borderId="0" xfId="2" applyFont="1"/>
  </cellXfs>
  <cellStyles count="3">
    <cellStyle name="Prozent" xfId="1" builtinId="5"/>
    <cellStyle name="Standard" xfId="0" builtinId="0"/>
    <cellStyle name="Währung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E6" sqref="E6"/>
    </sheetView>
  </sheetViews>
  <sheetFormatPr baseColWidth="10" defaultColWidth="8.83984375" defaultRowHeight="14.4" x14ac:dyDescent="0.55000000000000004"/>
  <cols>
    <col min="1" max="1" width="21.68359375" customWidth="1"/>
    <col min="2" max="2" width="12.41796875" customWidth="1"/>
    <col min="3" max="3" width="17.20703125" customWidth="1"/>
    <col min="4" max="4" width="13.26171875" customWidth="1"/>
  </cols>
  <sheetData>
    <row r="1" spans="1:11" x14ac:dyDescent="0.55000000000000004">
      <c r="A1" s="1" t="s">
        <v>0</v>
      </c>
      <c r="B1" s="1" t="s">
        <v>1</v>
      </c>
      <c r="C1" s="1" t="s">
        <v>6</v>
      </c>
      <c r="D1" s="1" t="s">
        <v>3</v>
      </c>
      <c r="E1" s="1" t="s">
        <v>15</v>
      </c>
      <c r="F1" s="1" t="s">
        <v>16</v>
      </c>
      <c r="J1" t="s">
        <v>7</v>
      </c>
      <c r="K1">
        <v>35</v>
      </c>
    </row>
    <row r="2" spans="1:11" x14ac:dyDescent="0.55000000000000004">
      <c r="A2" t="s">
        <v>2</v>
      </c>
      <c r="B2" s="2">
        <v>0.77300000000000002</v>
      </c>
      <c r="C2">
        <v>853</v>
      </c>
      <c r="D2">
        <v>6131</v>
      </c>
      <c r="J2" t="s">
        <v>8</v>
      </c>
      <c r="K2" s="3">
        <f>DEGREES(ASIN(18/109))</f>
        <v>9.5052288756744954</v>
      </c>
    </row>
    <row r="3" spans="1:11" x14ac:dyDescent="0.55000000000000004">
      <c r="A3" t="s">
        <v>4</v>
      </c>
      <c r="B3" s="2">
        <v>0.80300000000000005</v>
      </c>
      <c r="C3">
        <v>740</v>
      </c>
      <c r="D3">
        <v>6010</v>
      </c>
      <c r="E3">
        <f>C$2-C3</f>
        <v>113</v>
      </c>
      <c r="F3">
        <f>D3-D$2</f>
        <v>-121</v>
      </c>
      <c r="G3" s="5">
        <f>$K$4*E3+$K$3*F3</f>
        <v>24.2926</v>
      </c>
      <c r="J3" t="s">
        <v>17</v>
      </c>
      <c r="K3">
        <v>7.9399999999999998E-2</v>
      </c>
    </row>
    <row r="4" spans="1:11" x14ac:dyDescent="0.55000000000000004">
      <c r="A4" t="s">
        <v>5</v>
      </c>
      <c r="B4" s="4">
        <v>0.79100000000000004</v>
      </c>
      <c r="C4">
        <v>783</v>
      </c>
      <c r="D4">
        <v>6200</v>
      </c>
      <c r="E4">
        <f t="shared" ref="E4:E10" si="0">C$2-C4</f>
        <v>70</v>
      </c>
      <c r="F4">
        <f t="shared" ref="F4:F10" si="1">D4-D$2</f>
        <v>69</v>
      </c>
      <c r="G4" s="5">
        <f t="shared" ref="G4:G10" si="2">$K$4*E4+$K$3*F4</f>
        <v>26.4786</v>
      </c>
      <c r="J4" t="s">
        <v>18</v>
      </c>
      <c r="K4">
        <v>0.3</v>
      </c>
    </row>
    <row r="5" spans="1:11" x14ac:dyDescent="0.55000000000000004">
      <c r="A5" t="s">
        <v>9</v>
      </c>
      <c r="B5" s="4">
        <v>0.77300000000000002</v>
      </c>
      <c r="C5">
        <v>853</v>
      </c>
      <c r="D5">
        <v>6137</v>
      </c>
      <c r="E5">
        <f t="shared" si="0"/>
        <v>0</v>
      </c>
      <c r="F5">
        <f t="shared" si="1"/>
        <v>6</v>
      </c>
      <c r="G5" s="5">
        <f t="shared" si="2"/>
        <v>0.47639999999999999</v>
      </c>
    </row>
    <row r="6" spans="1:11" x14ac:dyDescent="0.55000000000000004">
      <c r="A6" t="s">
        <v>10</v>
      </c>
      <c r="B6" s="4">
        <v>0.80900000000000005</v>
      </c>
      <c r="C6">
        <v>717</v>
      </c>
      <c r="D6">
        <v>11367</v>
      </c>
      <c r="E6">
        <f t="shared" si="0"/>
        <v>136</v>
      </c>
      <c r="F6">
        <f t="shared" si="1"/>
        <v>5236</v>
      </c>
      <c r="G6" s="5">
        <f t="shared" si="2"/>
        <v>456.53840000000002</v>
      </c>
    </row>
    <row r="7" spans="1:11" x14ac:dyDescent="0.55000000000000004">
      <c r="A7" t="s">
        <v>11</v>
      </c>
      <c r="B7" s="4">
        <v>0.81200000000000006</v>
      </c>
      <c r="C7">
        <v>705</v>
      </c>
      <c r="D7">
        <v>7553</v>
      </c>
      <c r="E7">
        <f t="shared" si="0"/>
        <v>148</v>
      </c>
      <c r="F7">
        <f t="shared" si="1"/>
        <v>1422</v>
      </c>
      <c r="G7" s="5">
        <f t="shared" si="2"/>
        <v>157.30680000000001</v>
      </c>
    </row>
    <row r="8" spans="1:11" x14ac:dyDescent="0.55000000000000004">
      <c r="A8" t="s">
        <v>12</v>
      </c>
      <c r="B8" s="4">
        <v>0.81</v>
      </c>
      <c r="C8">
        <v>715</v>
      </c>
      <c r="D8">
        <v>9720</v>
      </c>
      <c r="E8">
        <f t="shared" si="0"/>
        <v>138</v>
      </c>
      <c r="F8">
        <f t="shared" si="1"/>
        <v>3589</v>
      </c>
      <c r="G8" s="5">
        <f t="shared" si="2"/>
        <v>326.36659999999995</v>
      </c>
    </row>
    <row r="9" spans="1:11" x14ac:dyDescent="0.55000000000000004">
      <c r="A9" t="s">
        <v>13</v>
      </c>
      <c r="B9" s="4">
        <v>0.81299999999999994</v>
      </c>
      <c r="C9">
        <v>701</v>
      </c>
      <c r="D9">
        <v>9669</v>
      </c>
      <c r="E9">
        <f t="shared" si="0"/>
        <v>152</v>
      </c>
      <c r="F9">
        <f t="shared" si="1"/>
        <v>3538</v>
      </c>
      <c r="G9" s="5">
        <f t="shared" si="2"/>
        <v>326.5172</v>
      </c>
    </row>
    <row r="10" spans="1:11" x14ac:dyDescent="0.55000000000000004">
      <c r="A10" t="s">
        <v>14</v>
      </c>
      <c r="B10" s="4">
        <v>0.81299999999999994</v>
      </c>
      <c r="C10">
        <v>701</v>
      </c>
      <c r="D10">
        <v>9340</v>
      </c>
      <c r="E10">
        <f t="shared" si="0"/>
        <v>152</v>
      </c>
      <c r="F10">
        <f t="shared" si="1"/>
        <v>3209</v>
      </c>
      <c r="G10" s="5">
        <f t="shared" si="2"/>
        <v>300.39460000000003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Dr.-Ing. Tobias Baum</dc:creator>
  <cp:lastModifiedBy>Dr.-Ing. Tobias Baum</cp:lastModifiedBy>
  <dcterms:created xsi:type="dcterms:W3CDTF">2015-06-05T18:19:34Z</dcterms:created>
  <dcterms:modified xsi:type="dcterms:W3CDTF">2025-07-13T11:37:52Z</dcterms:modified>
</cp:coreProperties>
</file>